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filterPrivacy="1" defaultThemeVersion="124226"/>
  <xr:revisionPtr revIDLastSave="0" documentId="13_ncr:1_{4749015B-B3B2-4EDC-B68D-32AEC57B8169}" xr6:coauthVersionLast="47" xr6:coauthVersionMax="47" xr10:uidLastSave="{00000000-0000-0000-0000-000000000000}"/>
  <bookViews>
    <workbookView xWindow="14317" yWindow="0" windowWidth="14565" windowHeight="15563" xr2:uid="{00000000-000D-0000-FFFF-FFFF00000000}"/>
  </bookViews>
  <sheets>
    <sheet name="Cost model analysis"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5" l="1"/>
  <c r="B80" i="5"/>
  <c r="B79" i="5"/>
  <c r="B61" i="5"/>
  <c r="B60" i="5"/>
  <c r="B36" i="5"/>
  <c r="B35" i="5"/>
  <c r="D65" i="5" l="1"/>
  <c r="F65" i="5" s="1"/>
  <c r="B45" i="5"/>
  <c r="C66" i="5" s="1"/>
  <c r="B44" i="5"/>
  <c r="D66" i="5" l="1"/>
  <c r="B71" i="5" l="1"/>
  <c r="B70" i="5"/>
  <c r="B72" i="5" l="1"/>
  <c r="D72" i="5" s="1"/>
  <c r="B42" i="5"/>
  <c r="B41" i="5" l="1"/>
  <c r="D41" i="5" l="1"/>
  <c r="B47" i="5"/>
  <c r="B38" i="5"/>
  <c r="B43" i="5"/>
  <c r="B34" i="5" s="1"/>
  <c r="B37" i="5" l="1"/>
  <c r="D47" i="5"/>
  <c r="D46" i="5"/>
  <c r="B81" i="5" l="1"/>
  <c r="B52" i="5" l="1"/>
  <c r="B55" i="5" s="1"/>
  <c r="B57" i="5" s="1"/>
  <c r="B67" i="5" s="1"/>
  <c r="D48" i="5"/>
  <c r="B10" i="5" l="1"/>
  <c r="D10" i="5" s="1"/>
  <c r="B11" i="5"/>
  <c r="B9" i="5"/>
  <c r="D9" i="5" s="1"/>
  <c r="D67" i="5" l="1"/>
  <c r="B14" i="5"/>
  <c r="D37" i="5"/>
  <c r="D38" i="5"/>
  <c r="B73" i="5"/>
  <c r="D73" i="5" s="1"/>
  <c r="B15" i="5"/>
  <c r="D35" i="5"/>
  <c r="B59" i="5"/>
  <c r="D36" i="5"/>
  <c r="D34" i="5"/>
  <c r="D11" i="5"/>
  <c r="B13" i="5"/>
  <c r="B12" i="5" s="1"/>
  <c r="D14" i="5"/>
  <c r="D15" i="5" l="1"/>
  <c r="B74" i="5"/>
  <c r="D74" i="5" l="1"/>
  <c r="B75" i="5"/>
  <c r="D7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tc={94B1C185-12CC-4E70-99A2-2398EB82F6C6}</author>
    <author>Author</author>
  </authors>
  <commentList>
    <comment ref="B6" authorId="0" shapeId="0" xr:uid="{94B1C185-12CC-4E70-99A2-2398EB82F6C6}">
      <text>
        <t>[Threaded comment]
Your version of Excel allows you to read this threaded comment; however, any edits to it will get removed if the file is opened in a newer version of Excel. Learn more: https://go.microsoft.com/fwlink/?linkid=870924
Comment:
    https://www.usinflationcalculator.com/inflation/current-inflation-rates/</t>
      </text>
    </comment>
    <comment ref="D24" authorId="1" shapeId="0" xr:uid="{76CE71AF-F247-4428-80BB-2435F72913D9}">
      <text>
        <r>
          <rPr>
            <b/>
            <sz val="9"/>
            <color indexed="81"/>
            <rFont val="Tahoma"/>
            <family val="2"/>
          </rPr>
          <t>Author:</t>
        </r>
        <r>
          <rPr>
            <sz val="9"/>
            <color indexed="81"/>
            <rFont val="Tahoma"/>
            <family val="2"/>
          </rPr>
          <t xml:space="preserve">
https://www.pub.gov.sg/watersupply/waterprice
</t>
        </r>
      </text>
    </comment>
    <comment ref="D25" authorId="1" shapeId="0" xr:uid="{769C6D7F-1413-420A-957C-79AF00E72702}">
      <text>
        <r>
          <rPr>
            <b/>
            <sz val="9"/>
            <color indexed="81"/>
            <rFont val="Tahoma"/>
            <family val="2"/>
          </rPr>
          <t>Author:</t>
        </r>
        <r>
          <rPr>
            <sz val="9"/>
            <color indexed="81"/>
            <rFont val="Tahoma"/>
            <family val="2"/>
          </rPr>
          <t xml:space="preserve">
https://www.ipart.nsw.gov.au/sites/default/files/cm9_documents/Final-Report-Review-of-Water-NSWs-rural-bulk-water-prices-September-2021.PDF</t>
        </r>
      </text>
    </comment>
  </commentList>
</comments>
</file>

<file path=xl/sharedStrings.xml><?xml version="1.0" encoding="utf-8"?>
<sst xmlns="http://schemas.openxmlformats.org/spreadsheetml/2006/main" count="147" uniqueCount="111">
  <si>
    <t>Pumped hydro energy storage</t>
  </si>
  <si>
    <t>Questions? Contact:</t>
  </si>
  <si>
    <t>andrew.blakers@anu.edu.au</t>
  </si>
  <si>
    <t>Indicative costing. This spreadsheet is not to be relied upon. Accurate costing of PHES systems requires detailed engineering, geological, hydrological, environmental, heritage and other studies. It is not known whether any particular site would be suitable or commercially feasible.</t>
  </si>
  <si>
    <t>All costs are in 2024 USD, except where specified.</t>
  </si>
  <si>
    <t>Currency: USD</t>
  </si>
  <si>
    <t>Local currency</t>
  </si>
  <si>
    <t>Inflation factor (2017 to 2024)</t>
  </si>
  <si>
    <t>CAPITAL COSTS (2024)</t>
  </si>
  <si>
    <t>Exchange rate USD to local currency, default is AUD</t>
  </si>
  <si>
    <t>Capital cost - power</t>
  </si>
  <si>
    <t>$/kW</t>
  </si>
  <si>
    <t>Capital cost - energy</t>
  </si>
  <si>
    <t>$/kWh</t>
  </si>
  <si>
    <t>Capital cost</t>
  </si>
  <si>
    <t>$million</t>
  </si>
  <si>
    <t>Cost class</t>
  </si>
  <si>
    <t>Cost/benchmark</t>
  </si>
  <si>
    <t>Benchmark = Class A/B boundary</t>
  </si>
  <si>
    <t>Capital costs (power &amp; energy) expressed per kW</t>
  </si>
  <si>
    <t>Capital costs (power &amp; energy) expressed per kWh</t>
  </si>
  <si>
    <t>KEY INPUTS</t>
  </si>
  <si>
    <t>Power rating (P)</t>
  </si>
  <si>
    <t>MW</t>
  </si>
  <si>
    <t>Green cells are input cells</t>
  </si>
  <si>
    <t>Head (height difference between reservoirs) (H)</t>
  </si>
  <si>
    <t>m</t>
  </si>
  <si>
    <t>Blue cells are default figures</t>
  </si>
  <si>
    <t>Separation between reservoirs (S)</t>
  </si>
  <si>
    <t>Yellow cells are output cells</t>
  </si>
  <si>
    <t>Stored energy</t>
  </si>
  <si>
    <t>GWh</t>
  </si>
  <si>
    <t>Water-rock volume ratio</t>
  </si>
  <si>
    <t>Ratio of total impounded water to the volume of rock needed to form the twin reservoirs</t>
  </si>
  <si>
    <t>Land acquisition</t>
  </si>
  <si>
    <t>$/m2</t>
  </si>
  <si>
    <t>US$1000/Ha</t>
  </si>
  <si>
    <t>Initial fill acquisition</t>
  </si>
  <si>
    <t>$/ML</t>
  </si>
  <si>
    <t>US$500/ML</t>
  </si>
  <si>
    <t>Singapore industrial water</t>
  </si>
  <si>
    <t>US$25/ML</t>
  </si>
  <si>
    <t>Bulk rural NSW water</t>
  </si>
  <si>
    <t>DEFAULT INPUTS</t>
  </si>
  <si>
    <t>Potential energy</t>
  </si>
  <si>
    <t>E=m*g*h</t>
  </si>
  <si>
    <t>Pumping efficiency (default 90%)</t>
  </si>
  <si>
    <t>Generation efficiency (default 90%)</t>
  </si>
  <si>
    <t>Useable fraction of the water volume (default 85%)</t>
  </si>
  <si>
    <t>Cost of building a dam (default 168, 2017 value)</t>
  </si>
  <si>
    <t>$/m3</t>
  </si>
  <si>
    <t>$/m3 in 2024</t>
  </si>
  <si>
    <t>COMPONENT CAPITAL COSTS</t>
  </si>
  <si>
    <t>Fraction</t>
  </si>
  <si>
    <t>Cost - reservoirs (energy storage)</t>
  </si>
  <si>
    <t>For heads &gt;800m, two tunnels and 2 powerhouses are assumed, of half head, half power and half separation</t>
  </si>
  <si>
    <t>Cost - tunnel</t>
  </si>
  <si>
    <t>Cost - Powerhouse</t>
  </si>
  <si>
    <t>For Bluefield: the upper reservoir is constrained to less than half the area of the lower (existing) reservoir</t>
  </si>
  <si>
    <t>SYSTEM CHARACTERISTICS</t>
  </si>
  <si>
    <t>Total reservoir water volume (including dead water)</t>
  </si>
  <si>
    <t>Gigalitres = Mm3</t>
  </si>
  <si>
    <t>GL/GWh</t>
  </si>
  <si>
    <t>Available reservoir water volume</t>
  </si>
  <si>
    <t>Rock volume required to construct the walls</t>
  </si>
  <si>
    <t>Slope (Head divided by separation)</t>
  </si>
  <si>
    <t>Hours of operation at full power</t>
  </si>
  <si>
    <t>hours</t>
  </si>
  <si>
    <t>Average reservoir depth</t>
  </si>
  <si>
    <t>Ha/GWh</t>
  </si>
  <si>
    <t>Combined reservoir area</t>
  </si>
  <si>
    <t>Ha</t>
  </si>
  <si>
    <t>Ha/GL</t>
  </si>
  <si>
    <t>Diameter (km) for a circular reservoir</t>
  </si>
  <si>
    <t>REAL DISCOUNT RATE (INFLATION-FREE)</t>
  </si>
  <si>
    <t>Equity fraction</t>
  </si>
  <si>
    <t>Bank debt fraction</t>
  </si>
  <si>
    <t>Equity rate of return</t>
  </si>
  <si>
    <t>Bank interest rate</t>
  </si>
  <si>
    <t>Nominal discount rate</t>
  </si>
  <si>
    <t>per yr</t>
  </si>
  <si>
    <t>Governments can generally borrow at a lower rate</t>
  </si>
  <si>
    <t>Inflation rate</t>
  </si>
  <si>
    <t>Real discount rate (inflation-free)</t>
  </si>
  <si>
    <t>ANNUAL O&amp;M</t>
  </si>
  <si>
    <t>of initial capital cost per year</t>
  </si>
  <si>
    <t>Annual fixed O&amp;M per MW</t>
  </si>
  <si>
    <t>Annual variable O&amp;M per MWh (pump + gen)</t>
  </si>
  <si>
    <t>SYSTEM PARAMETERS</t>
  </si>
  <si>
    <t>Average purchase price of energy for storage</t>
  </si>
  <si>
    <t>$/MWh</t>
  </si>
  <si>
    <t>System lifetime</t>
  </si>
  <si>
    <t>yrs</t>
  </si>
  <si>
    <t>Cycle time (hours) and (days)</t>
  </si>
  <si>
    <t>Pumping + generating cycles per year (average)</t>
  </si>
  <si>
    <t>Max cycles per year</t>
  </si>
  <si>
    <t>Refurbishment at 20 and 40 years: net present value</t>
  </si>
  <si>
    <t>of initial capital cost</t>
  </si>
  <si>
    <t>RESULTS</t>
  </si>
  <si>
    <t>Annual energy purchased (before pumping losses)</t>
  </si>
  <si>
    <t>TWh</t>
  </si>
  <si>
    <t>Annual energy sold (after generation losses)</t>
  </si>
  <si>
    <t>Cost to purchase lost energy</t>
  </si>
  <si>
    <t>O&amp;M cost</t>
  </si>
  <si>
    <t>Levelised cost of storage</t>
  </si>
  <si>
    <t xml:space="preserve">BENCHMARK </t>
  </si>
  <si>
    <t>Benchmark cost -energy</t>
  </si>
  <si>
    <t>reservoirs</t>
  </si>
  <si>
    <t>Benchmark cost - power</t>
  </si>
  <si>
    <t>penstock, pump/turbine, generator, switchyard, transmission, control</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</si>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</sst>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_(&quot;$&quot;* #,##0.00_);_(&quot;$&quot;* \(#,##0.00\);_(&quot;$&quot;* &quot;-&quot;??_);_(@_)"/>
    <numFmt numFmtId="165" formatCode="_-* #,##0_-;\-* #,##0_-;_-* &quot;-&quot;??_-;_-@_-"/>
    <numFmt numFmtId="166" formatCode="_(* #,##0_);_(* \(#,##0\);_(* &quot;-&quot;??_);_(@_)"/>
    <numFmt numFmtId="167" formatCode="_(* #,##0.0_);_(* \(#,##0.0\);_(* &quot;-&quot;??_);_(@_)"/>
    <numFmt numFmtId="168" formatCode="_-* #,##0.0_-;\-* #,##0.0_-;_-* &quot;-&quot;??_-;_-@_-"/>
    <numFmt numFmtId="169" formatCode="0.0%"/>
    <numFmt numFmtId="170" formatCode="_(&quot;$&quot;* #,##0_);_(&quot;$&quot;* \(#,##0\);_(&quot;$&quot;*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1"/>
      <color rgb="FFFF0000"/>
      <name val="Calibri"/>
      <family val="2"/>
      <scheme val="minor"/>
    </font>
    <font>
      <b/>
      <sz val="28"/>
      <color theme="1"/>
      <name val="Calibri"/>
      <family val="2"/>
      <scheme val="minor"/>
    </font>
    <font>
      <sz val="11"/>
      <color theme="0"/>
      <name val="Calibri"/>
      <family val="2"/>
      <scheme val="minor"/>
    </font>
    <font>
      <sz val="9"/>
      <color indexed="81"/>
      <name val="Tahoma"/>
      <family val="2"/>
    </font>
    <font>
      <b/>
      <sz val="9"/>
      <color indexed="81"/>
      <name val="Tahoma"/>
      <family val="2"/>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patternFill>
    </fill>
  </fills>
  <borders count="1">
    <border>
      <left/>
      <right/>
      <top/>
      <bottom/>
      <diagonal/>
    </border>
  </borders>
  <cellStyleXfs count="7">
    <xf numFmtId="0" fontId="0" fillId="0" borderId="0"/>
    <xf numFmtId="43"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7" fillId="5" borderId="0" applyNumberFormat="0" applyBorder="0" applyAlignment="0" applyProtection="0"/>
    <xf numFmtId="0" fontId="10" fillId="0" borderId="0" applyNumberFormat="0" applyFill="0" applyBorder="0" applyAlignment="0" applyProtection="0"/>
  </cellStyleXfs>
  <cellXfs count="61">
    <xf numFmtId="0" fontId="0" fillId="0" borderId="0" xfId="0"/>
    <xf numFmtId="0" fontId="2" fillId="0" borderId="0" xfId="0" applyFont="1"/>
    <xf numFmtId="1" fontId="0" fillId="2" borderId="0" xfId="0" applyNumberFormat="1" applyFill="1"/>
    <xf numFmtId="0" fontId="0" fillId="3" borderId="0" xfId="0" applyFill="1"/>
    <xf numFmtId="165" fontId="0" fillId="2" borderId="0" xfId="1" applyNumberFormat="1" applyFont="1" applyFill="1"/>
    <xf numFmtId="1" fontId="0" fillId="3" borderId="0" xfId="0" applyNumberFormat="1" applyFill="1"/>
    <xf numFmtId="9" fontId="0" fillId="4" borderId="0" xfId="0" applyNumberFormat="1" applyFill="1"/>
    <xf numFmtId="0" fontId="0" fillId="0" borderId="0" xfId="0" applyAlignment="1">
      <alignment horizontal="right"/>
    </xf>
    <xf numFmtId="0" fontId="3" fillId="0" borderId="0" xfId="0" applyFont="1"/>
    <xf numFmtId="166" fontId="3" fillId="2" borderId="0" xfId="1" applyNumberFormat="1" applyFont="1" applyFill="1"/>
    <xf numFmtId="166" fontId="0" fillId="2" borderId="0" xfId="1" applyNumberFormat="1" applyFont="1" applyFill="1" applyAlignment="1">
      <alignment horizontal="center"/>
    </xf>
    <xf numFmtId="166" fontId="4" fillId="2" borderId="0" xfId="0" applyNumberFormat="1" applyFont="1" applyFill="1"/>
    <xf numFmtId="0" fontId="4" fillId="0" borderId="0" xfId="0" applyFont="1"/>
    <xf numFmtId="0" fontId="3" fillId="0" borderId="0" xfId="0" applyFont="1" applyAlignment="1">
      <alignment horizontal="left"/>
    </xf>
    <xf numFmtId="0" fontId="4" fillId="0" borderId="0" xfId="0" applyFont="1" applyAlignment="1">
      <alignment horizontal="left"/>
    </xf>
    <xf numFmtId="165" fontId="0" fillId="3" borderId="0" xfId="1" applyNumberFormat="1" applyFont="1" applyFill="1" applyAlignment="1">
      <alignment horizontal="right"/>
    </xf>
    <xf numFmtId="167" fontId="0" fillId="2" borderId="0" xfId="0" applyNumberFormat="1" applyFill="1"/>
    <xf numFmtId="9" fontId="0" fillId="3" borderId="0" xfId="0" applyNumberFormat="1" applyFill="1"/>
    <xf numFmtId="169" fontId="0" fillId="3" borderId="0" xfId="0" applyNumberFormat="1" applyFill="1"/>
    <xf numFmtId="9" fontId="0" fillId="2" borderId="0" xfId="0" applyNumberFormat="1" applyFill="1"/>
    <xf numFmtId="169" fontId="0" fillId="2" borderId="0" xfId="0" applyNumberFormat="1" applyFill="1"/>
    <xf numFmtId="169" fontId="0" fillId="2" borderId="0" xfId="0" applyNumberFormat="1" applyFill="1" applyAlignment="1">
      <alignment horizontal="right"/>
    </xf>
    <xf numFmtId="168" fontId="0" fillId="0" borderId="0" xfId="1" applyNumberFormat="1" applyFont="1" applyFill="1" applyAlignment="1">
      <alignment horizontal="right"/>
    </xf>
    <xf numFmtId="170" fontId="0" fillId="2" borderId="0" xfId="2" applyNumberFormat="1" applyFont="1" applyFill="1"/>
    <xf numFmtId="164" fontId="0" fillId="3" borderId="0" xfId="2" applyFont="1" applyFill="1"/>
    <xf numFmtId="0" fontId="2"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9" fontId="0" fillId="2" borderId="0" xfId="4" applyFont="1" applyFill="1"/>
    <xf numFmtId="165" fontId="0" fillId="4" borderId="0" xfId="1" applyNumberFormat="1" applyFont="1" applyFill="1"/>
    <xf numFmtId="165" fontId="0" fillId="3" borderId="0" xfId="1" applyNumberFormat="1" applyFont="1" applyFill="1"/>
    <xf numFmtId="9" fontId="0" fillId="2" borderId="0" xfId="4" applyFont="1" applyFill="1" applyAlignment="1">
      <alignment horizontal="center"/>
    </xf>
    <xf numFmtId="0" fontId="6" fillId="0" borderId="0" xfId="0" applyFont="1"/>
    <xf numFmtId="0" fontId="0" fillId="4" borderId="0" xfId="0" applyFill="1" applyAlignment="1">
      <alignment horizontal="right"/>
    </xf>
    <xf numFmtId="168" fontId="0" fillId="2" borderId="0" xfId="1" applyNumberFormat="1" applyFont="1" applyFill="1"/>
    <xf numFmtId="165" fontId="2" fillId="2" borderId="0" xfId="1" applyNumberFormat="1" applyFont="1" applyFill="1" applyAlignment="1">
      <alignment horizontal="right"/>
    </xf>
    <xf numFmtId="165" fontId="1" fillId="2" borderId="0" xfId="1" applyNumberFormat="1" applyFont="1" applyFill="1"/>
    <xf numFmtId="43" fontId="0" fillId="2" borderId="0" xfId="1" applyFont="1" applyFill="1"/>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2" borderId="0" xfId="0" applyFill="1" applyAlignment="1">
      <alignment horizontal="center"/>
    </xf>
    <xf numFmtId="168" fontId="0" fillId="2" borderId="0" xfId="1" applyNumberFormat="1" applyFont="1" applyFill="1" applyAlignment="1">
      <alignment horizontal="right"/>
    </xf>
    <xf numFmtId="166" fontId="0" fillId="2" borderId="0" xfId="0" applyNumberFormat="1" applyFill="1"/>
    <xf numFmtId="170" fontId="2" fillId="2" borderId="0" xfId="2" applyNumberFormat="1" applyFont="1" applyFill="1"/>
    <xf numFmtId="0" fontId="7" fillId="5" borderId="0" xfId="5"/>
    <xf numFmtId="43" fontId="0" fillId="2" borderId="0" xfId="0" applyNumberFormat="1" applyFill="1"/>
    <xf numFmtId="2" fontId="0" fillId="2" borderId="0" xfId="0" applyNumberFormat="1" applyFill="1" applyAlignment="1">
      <alignment horizontal="right"/>
    </xf>
    <xf numFmtId="168" fontId="0" fillId="2" borderId="0" xfId="0" applyNumberFormat="1" applyFill="1"/>
    <xf numFmtId="168" fontId="0" fillId="3" borderId="0" xfId="1" applyNumberFormat="1" applyFont="1" applyFill="1"/>
    <xf numFmtId="165" fontId="0" fillId="2" borderId="0" xfId="0" applyNumberFormat="1" applyFill="1"/>
    <xf numFmtId="168" fontId="5" fillId="2" borderId="0" xfId="1" applyNumberFormat="1" applyFont="1" applyFill="1"/>
    <xf numFmtId="1" fontId="0" fillId="4" borderId="0" xfId="0" applyNumberFormat="1" applyFill="1"/>
    <xf numFmtId="165" fontId="0" fillId="0" borderId="0" xfId="0" applyNumberFormat="1" applyAlignment="1">
      <alignment horizontal="left"/>
    </xf>
    <xf numFmtId="169" fontId="5" fillId="2" borderId="0" xfId="4" applyNumberFormat="1" applyFont="1" applyFill="1"/>
    <xf numFmtId="0" fontId="0" fillId="0" borderId="0" xfId="0" applyAlignment="1">
      <alignment horizontal="center" vertical="center" wrapText="1"/>
    </xf>
    <xf numFmtId="0" fontId="10" fillId="0" borderId="0" xfId="6"/>
    <xf numFmtId="0" fontId="2" fillId="0" borderId="0" xfId="0" applyFont="1" applyAlignment="1">
      <alignment horizontal="right"/>
    </xf>
    <xf numFmtId="9" fontId="2" fillId="3" borderId="0" xfId="0" applyNumberFormat="1" applyFont="1" applyFill="1" applyAlignment="1">
      <alignment horizontal="center" wrapText="1"/>
    </xf>
    <xf numFmtId="0" fontId="5" fillId="2" borderId="0" xfId="0" applyFont="1" applyFill="1" applyAlignment="1">
      <alignment wrapText="1"/>
    </xf>
    <xf numFmtId="0" fontId="0" fillId="0" borderId="0" xfId="0" applyAlignment="1">
      <alignment wrapText="1"/>
    </xf>
  </cellXfs>
  <cellStyles count="7">
    <cellStyle name="Accent2" xfId="5" builtinId="33"/>
    <cellStyle name="Comma" xfId="1" builtinId="3"/>
    <cellStyle name="Currency" xfId="2" builtinId="4"/>
    <cellStyle name="Currency 2" xfId="3" xr:uid="{00000000-0005-0000-0000-000002000000}"/>
    <cellStyle name="Hyperlink" xfId="6" builtinId="8"/>
    <cellStyle name="Normal" xfId="0" builtinId="0"/>
    <cellStyle name="Percent" xfId="4" builtinId="5"/>
  </cellStyles>
  <dxfs count="2">
    <dxf>
      <font>
        <color theme="0"/>
      </font>
      <fill>
        <patternFill>
          <bgColor rgb="FFFF0000"/>
        </patternFill>
      </fill>
    </dxf>
    <dxf>
      <fill>
        <patternFill>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re100.eng.anu.edu.au/" TargetMode="Externa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70485</xdr:colOff>
      <xdr:row>34</xdr:row>
      <xdr:rowOff>7620</xdr:rowOff>
    </xdr:from>
    <xdr:to>
      <xdr:col>4</xdr:col>
      <xdr:colOff>2636520</xdr:colOff>
      <xdr:row>34</xdr:row>
      <xdr:rowOff>179069</xdr:rowOff>
    </xdr:to>
    <xdr:pic>
      <xdr:nvPicPr>
        <xdr:cNvPr id="3" name="Picture 2">
          <a:extLst>
            <a:ext uri="{FF2B5EF4-FFF2-40B4-BE49-F238E27FC236}">
              <a16:creationId xmlns:a16="http://schemas.microsoft.com/office/drawing/2014/main" id="{8C040C48-50B9-40ED-9598-25E118F99F7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662785" y="5806440"/>
          <a:ext cx="2566035" cy="171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80010</xdr:colOff>
      <xdr:row>34</xdr:row>
      <xdr:rowOff>175260</xdr:rowOff>
    </xdr:from>
    <xdr:to>
      <xdr:col>4</xdr:col>
      <xdr:colOff>2103120</xdr:colOff>
      <xdr:row>35</xdr:row>
      <xdr:rowOff>175260</xdr:rowOff>
    </xdr:to>
    <xdr:pic>
      <xdr:nvPicPr>
        <xdr:cNvPr id="5" name="Picture 4">
          <a:extLst>
            <a:ext uri="{FF2B5EF4-FFF2-40B4-BE49-F238E27FC236}">
              <a16:creationId xmlns:a16="http://schemas.microsoft.com/office/drawing/2014/main" id="{1B8C2F02-6994-4676-A6CA-B71594B6FC5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672310" y="5974080"/>
          <a:ext cx="202311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714375</xdr:colOff>
      <xdr:row>2</xdr:row>
      <xdr:rowOff>38100</xdr:rowOff>
    </xdr:from>
    <xdr:to>
      <xdr:col>4</xdr:col>
      <xdr:colOff>2714625</xdr:colOff>
      <xdr:row>6</xdr:row>
      <xdr:rowOff>14288</xdr:rowOff>
    </xdr:to>
    <xdr:sp macro="" textlink="">
      <xdr:nvSpPr>
        <xdr:cNvPr id="2" name="TextBox 1">
          <a:hlinkClick xmlns:r="http://schemas.openxmlformats.org/officeDocument/2006/relationships" r:id="rId3"/>
          <a:extLst>
            <a:ext uri="{FF2B5EF4-FFF2-40B4-BE49-F238E27FC236}">
              <a16:creationId xmlns:a16="http://schemas.microsoft.com/office/drawing/2014/main" id="{2D43D039-4316-CB35-0C44-3E08FC5AA27A}"/>
            </a:ext>
          </a:extLst>
        </xdr:cNvPr>
        <xdr:cNvSpPr txBox="1"/>
      </xdr:nvSpPr>
      <xdr:spPr>
        <a:xfrm>
          <a:off x="6610350" y="866775"/>
          <a:ext cx="2000250" cy="70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Explore our</a:t>
          </a:r>
          <a:r>
            <a:rPr lang="en-AU" sz="1100" b="1" baseline="0"/>
            <a:t> Pumped Hydro Atlases:</a:t>
          </a:r>
        </a:p>
        <a:p>
          <a:r>
            <a:rPr lang="en-AU" sz="1100" b="1"/>
            <a:t>https://re100.eng.anu.edu.au/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4-06-12T03:17:28.84" personId="{00000000-0000-0000-0000-000000000000}" id="{94B1C185-12CC-4E70-99A2-2398EB82F6C6}">
    <text>https://www.usinflationcalculator.com/inflation/current-inflation-rates/</text>
    <extLst>
      <x:ext xmlns:xltc2="http://schemas.microsoft.com/office/spreadsheetml/2020/threadedcomments2" uri="{F7C98A9C-CBB3-438F-8F68-D28B6AF4A901}">
        <xltc2:checksum>991904023</xltc2:checksum>
        <xltc2:hyperlink startIndex="0" length="72" url="https://www.usinflationcalculator.com/inflation/current-inflation-rates/"/>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drew.blakers@anu.edu.au"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topLeftCell="A4" zoomScaleNormal="100" workbookViewId="0">
      <selection activeCell="B23" sqref="B23"/>
    </sheetView>
  </sheetViews>
  <sheetFormatPr defaultRowHeight="14.25" x14ac:dyDescent="0.45"/>
  <cols>
    <col min="1" max="1" width="43.59765625" customWidth="1"/>
    <col min="2" max="2" width="13.265625" bestFit="1" customWidth="1"/>
    <col min="3" max="3" width="12.265625" customWidth="1"/>
    <col min="4" max="4" width="13.265625" customWidth="1"/>
    <col min="5" max="5" width="43.265625" customWidth="1"/>
  </cols>
  <sheetData>
    <row r="1" spans="1:5" ht="36" x14ac:dyDescent="1.05">
      <c r="A1" s="32" t="s">
        <v>0</v>
      </c>
      <c r="D1" s="55" t="s">
        <v>1</v>
      </c>
      <c r="E1" s="56" t="s">
        <v>2</v>
      </c>
    </row>
    <row r="2" spans="1:5" ht="29.45" customHeight="1" x14ac:dyDescent="0.45">
      <c r="A2" s="59" t="s">
        <v>3</v>
      </c>
      <c r="B2" s="60"/>
      <c r="C2" s="60"/>
      <c r="D2" s="60"/>
      <c r="E2" s="60"/>
    </row>
    <row r="3" spans="1:5" x14ac:dyDescent="0.45">
      <c r="A3" t="s">
        <v>4</v>
      </c>
      <c r="D3" s="57"/>
      <c r="E3" s="56"/>
    </row>
    <row r="5" spans="1:5" x14ac:dyDescent="0.45">
      <c r="B5" s="25" t="s">
        <v>5</v>
      </c>
      <c r="D5" s="25" t="s">
        <v>6</v>
      </c>
    </row>
    <row r="6" spans="1:5" x14ac:dyDescent="0.45">
      <c r="A6" s="1" t="s">
        <v>7</v>
      </c>
      <c r="B6" s="58">
        <v>0.81</v>
      </c>
      <c r="D6" s="25"/>
    </row>
    <row r="7" spans="1:5" x14ac:dyDescent="0.45">
      <c r="B7" s="25"/>
      <c r="D7" s="25"/>
    </row>
    <row r="8" spans="1:5" x14ac:dyDescent="0.45">
      <c r="A8" s="1" t="s">
        <v>8</v>
      </c>
      <c r="D8" s="24">
        <v>0.67</v>
      </c>
      <c r="E8" t="s">
        <v>9</v>
      </c>
    </row>
    <row r="9" spans="1:5" x14ac:dyDescent="0.45">
      <c r="A9" t="s">
        <v>10</v>
      </c>
      <c r="B9" s="4">
        <f>(B35+B36)*1000/B18</f>
        <v>1020.4609532382628</v>
      </c>
      <c r="C9" t="s">
        <v>11</v>
      </c>
      <c r="D9" s="23">
        <f>B9/D$8</f>
        <v>1523.0760496093474</v>
      </c>
      <c r="E9" t="s">
        <v>11</v>
      </c>
    </row>
    <row r="10" spans="1:5" x14ac:dyDescent="0.45">
      <c r="A10" t="s">
        <v>12</v>
      </c>
      <c r="B10" s="4">
        <f>B34/B21</f>
        <v>16.976487564722859</v>
      </c>
      <c r="C10" t="s">
        <v>13</v>
      </c>
      <c r="D10" s="23">
        <f>B10/D$8</f>
        <v>25.338041141377399</v>
      </c>
      <c r="E10" t="s">
        <v>13</v>
      </c>
    </row>
    <row r="11" spans="1:5" x14ac:dyDescent="0.45">
      <c r="A11" t="s">
        <v>14</v>
      </c>
      <c r="B11" s="4">
        <f>SUM(B34:B38)</f>
        <v>2720.9744919870955</v>
      </c>
      <c r="C11" t="s">
        <v>15</v>
      </c>
      <c r="D11" s="23">
        <f>B11/D$8</f>
        <v>4061.1559581896945</v>
      </c>
      <c r="E11" t="s">
        <v>15</v>
      </c>
    </row>
    <row r="12" spans="1:5" x14ac:dyDescent="0.45">
      <c r="A12" s="14" t="s">
        <v>16</v>
      </c>
      <c r="B12" s="35" t="str">
        <f>IF(B13&lt;0.33,"AAA",IF(B13&lt;0.67,"AA",IF(B13&lt;1,"A  ",IF(B13&lt;1.25,"B  ",IF(B13&lt;1.5,"C  ",IF(B13&lt;1.75,"D  ",IF(B13&lt;2,"E  ","less than E  ")))))))</f>
        <v>AA</v>
      </c>
    </row>
    <row r="13" spans="1:5" x14ac:dyDescent="0.45">
      <c r="A13" t="s">
        <v>17</v>
      </c>
      <c r="B13" s="28">
        <f>B11/B81</f>
        <v>0.42141287543203582</v>
      </c>
      <c r="C13" t="s">
        <v>18</v>
      </c>
    </row>
    <row r="14" spans="1:5" x14ac:dyDescent="0.45">
      <c r="A14" t="s">
        <v>19</v>
      </c>
      <c r="B14" s="4">
        <f>B11*1000/B18</f>
        <v>2720.9744919870955</v>
      </c>
      <c r="C14" t="s">
        <v>11</v>
      </c>
      <c r="D14" s="23">
        <f>B14/D$8</f>
        <v>4061.1559581896945</v>
      </c>
      <c r="E14" t="s">
        <v>11</v>
      </c>
    </row>
    <row r="15" spans="1:5" x14ac:dyDescent="0.45">
      <c r="A15" t="s">
        <v>20</v>
      </c>
      <c r="B15" s="34">
        <f>B11/B21</f>
        <v>27.209744919870953</v>
      </c>
      <c r="C15" t="s">
        <v>13</v>
      </c>
      <c r="D15" s="23">
        <f>B15/D$8</f>
        <v>40.611559581896941</v>
      </c>
      <c r="E15" t="s">
        <v>13</v>
      </c>
    </row>
    <row r="17" spans="1:5" x14ac:dyDescent="0.45">
      <c r="A17" s="1" t="s">
        <v>21</v>
      </c>
    </row>
    <row r="18" spans="1:5" x14ac:dyDescent="0.45">
      <c r="A18" t="s">
        <v>22</v>
      </c>
      <c r="B18" s="5">
        <v>1000</v>
      </c>
      <c r="C18" t="s">
        <v>23</v>
      </c>
      <c r="E18" s="39" t="s">
        <v>24</v>
      </c>
    </row>
    <row r="19" spans="1:5" x14ac:dyDescent="0.45">
      <c r="A19" t="s">
        <v>25</v>
      </c>
      <c r="B19" s="3">
        <v>600</v>
      </c>
      <c r="C19" t="s">
        <v>26</v>
      </c>
      <c r="E19" s="40" t="s">
        <v>27</v>
      </c>
    </row>
    <row r="20" spans="1:5" x14ac:dyDescent="0.45">
      <c r="A20" t="s">
        <v>28</v>
      </c>
      <c r="B20" s="5">
        <v>6000</v>
      </c>
      <c r="C20" t="s">
        <v>26</v>
      </c>
      <c r="E20" s="41" t="s">
        <v>29</v>
      </c>
    </row>
    <row r="21" spans="1:5" x14ac:dyDescent="0.45">
      <c r="A21" t="s">
        <v>30</v>
      </c>
      <c r="B21" s="30">
        <v>100</v>
      </c>
      <c r="C21" t="s">
        <v>31</v>
      </c>
    </row>
    <row r="22" spans="1:5" x14ac:dyDescent="0.45">
      <c r="A22" t="s">
        <v>32</v>
      </c>
      <c r="B22" s="49">
        <v>10</v>
      </c>
      <c r="C22" t="s">
        <v>33</v>
      </c>
    </row>
    <row r="23" spans="1:5" x14ac:dyDescent="0.45">
      <c r="A23" t="s">
        <v>34</v>
      </c>
      <c r="B23" s="49">
        <v>0.1</v>
      </c>
      <c r="C23" t="s">
        <v>35</v>
      </c>
      <c r="D23" t="s">
        <v>36</v>
      </c>
    </row>
    <row r="24" spans="1:5" x14ac:dyDescent="0.45">
      <c r="A24" t="s">
        <v>37</v>
      </c>
      <c r="B24" s="30">
        <v>25</v>
      </c>
      <c r="C24" t="s">
        <v>38</v>
      </c>
      <c r="D24" t="s">
        <v>39</v>
      </c>
      <c r="E24" t="s">
        <v>40</v>
      </c>
    </row>
    <row r="25" spans="1:5" x14ac:dyDescent="0.45">
      <c r="D25" t="s">
        <v>41</v>
      </c>
      <c r="E25" t="s">
        <v>42</v>
      </c>
    </row>
    <row r="26" spans="1:5" x14ac:dyDescent="0.45">
      <c r="A26" s="1" t="s">
        <v>43</v>
      </c>
    </row>
    <row r="27" spans="1:5" x14ac:dyDescent="0.45">
      <c r="A27" t="s">
        <v>44</v>
      </c>
      <c r="B27" s="33" t="s">
        <v>45</v>
      </c>
    </row>
    <row r="28" spans="1:5" x14ac:dyDescent="0.45">
      <c r="A28" t="s">
        <v>46</v>
      </c>
      <c r="B28" s="6">
        <v>0.88</v>
      </c>
    </row>
    <row r="29" spans="1:5" x14ac:dyDescent="0.45">
      <c r="A29" t="s">
        <v>47</v>
      </c>
      <c r="B29" s="6">
        <v>0.88</v>
      </c>
    </row>
    <row r="30" spans="1:5" x14ac:dyDescent="0.45">
      <c r="A30" t="s">
        <v>48</v>
      </c>
      <c r="B30" s="6">
        <v>0.85</v>
      </c>
    </row>
    <row r="31" spans="1:5" x14ac:dyDescent="0.45">
      <c r="A31" t="s">
        <v>49</v>
      </c>
      <c r="B31" s="29">
        <v>168</v>
      </c>
      <c r="C31" t="s">
        <v>50</v>
      </c>
      <c r="D31" s="53">
        <f>B31/B6</f>
        <v>207.40740740740739</v>
      </c>
      <c r="E31" t="s">
        <v>51</v>
      </c>
    </row>
    <row r="33" spans="1:6" x14ac:dyDescent="0.45">
      <c r="A33" s="1" t="s">
        <v>52</v>
      </c>
      <c r="D33" s="38" t="s">
        <v>53</v>
      </c>
    </row>
    <row r="34" spans="1:6" x14ac:dyDescent="0.45">
      <c r="A34" t="s">
        <v>54</v>
      </c>
      <c r="B34" s="36">
        <f>B31*B43/B6</f>
        <v>1697.6487564722859</v>
      </c>
      <c r="C34" t="s">
        <v>15</v>
      </c>
      <c r="D34" s="31">
        <f>B34/B$11</f>
        <v>0.62391204381799004</v>
      </c>
      <c r="E34" t="s">
        <v>55</v>
      </c>
    </row>
    <row r="35" spans="1:6" x14ac:dyDescent="0.45">
      <c r="A35" t="s">
        <v>56</v>
      </c>
      <c r="B35" s="36">
        <f>IF(B19&lt;801,((66000*B18+17000000)+B20*(1280*B18+210000)*B19^(-0.54))/1000000,2*((66000*B18/2+17000000)+B20/2*(1280*B18/2+210000)*(B19/2)^(-0.54))/1000000)/B6</f>
        <v>451.32885325267284</v>
      </c>
      <c r="C35" t="s">
        <v>15</v>
      </c>
      <c r="D35" s="31">
        <f>B35/B$11</f>
        <v>0.16587029925557029</v>
      </c>
      <c r="F35" t="s">
        <v>55</v>
      </c>
    </row>
    <row r="36" spans="1:6" x14ac:dyDescent="0.45">
      <c r="A36" t="s">
        <v>57</v>
      </c>
      <c r="B36" s="36">
        <f>IF(B19&lt;801,63.5*B19^(-0.5)*B18^(0.75),2*63.5*(B19/2)^(-0.5)*(B18/2)^(0.75))/B6</f>
        <v>569.13209998559</v>
      </c>
      <c r="C36" t="s">
        <v>15</v>
      </c>
      <c r="D36" s="31">
        <f>B36/B$11</f>
        <v>0.20916480535249693</v>
      </c>
    </row>
    <row r="37" spans="1:6" x14ac:dyDescent="0.45">
      <c r="A37" t="s">
        <v>34</v>
      </c>
      <c r="B37" s="4">
        <f>B23*B47/100</f>
        <v>0.81850922187056652</v>
      </c>
      <c r="C37" t="s">
        <v>15</v>
      </c>
      <c r="D37" s="31">
        <f t="shared" ref="D37:D38" si="0">B37/B$11</f>
        <v>3.0081473541224526E-4</v>
      </c>
      <c r="F37" t="s">
        <v>58</v>
      </c>
    </row>
    <row r="38" spans="1:6" x14ac:dyDescent="0.45">
      <c r="A38" t="s">
        <v>37</v>
      </c>
      <c r="B38" s="4">
        <f>B24*B41/1000</f>
        <v>2.0462730546764161</v>
      </c>
      <c r="C38" t="s">
        <v>15</v>
      </c>
      <c r="D38" s="31">
        <f t="shared" si="0"/>
        <v>7.5203683853061298E-4</v>
      </c>
    </row>
    <row r="40" spans="1:6" x14ac:dyDescent="0.45">
      <c r="A40" s="1" t="s">
        <v>59</v>
      </c>
    </row>
    <row r="41" spans="1:6" x14ac:dyDescent="0.45">
      <c r="A41" t="s">
        <v>60</v>
      </c>
      <c r="B41" s="34">
        <f>B42/B30</f>
        <v>81.850922187056639</v>
      </c>
      <c r="C41" t="s">
        <v>61</v>
      </c>
      <c r="D41" s="46">
        <f>B41/B21</f>
        <v>0.81850922187056641</v>
      </c>
      <c r="E41" t="s">
        <v>62</v>
      </c>
    </row>
    <row r="42" spans="1:6" x14ac:dyDescent="0.45">
      <c r="A42" t="s">
        <v>63</v>
      </c>
      <c r="B42" s="34">
        <f>B21*3600/(9.8*B29*B19)</f>
        <v>69.573283858998138</v>
      </c>
      <c r="C42" t="s">
        <v>61</v>
      </c>
    </row>
    <row r="43" spans="1:6" x14ac:dyDescent="0.45">
      <c r="A43" t="s">
        <v>64</v>
      </c>
      <c r="B43" s="37">
        <f>B41/B22</f>
        <v>8.1850922187056643</v>
      </c>
      <c r="C43" t="s">
        <v>61</v>
      </c>
    </row>
    <row r="44" spans="1:6" x14ac:dyDescent="0.45">
      <c r="A44" t="s">
        <v>65</v>
      </c>
      <c r="B44" s="54">
        <f>B19/B20</f>
        <v>0.1</v>
      </c>
    </row>
    <row r="45" spans="1:6" x14ac:dyDescent="0.45">
      <c r="A45" t="s">
        <v>66</v>
      </c>
      <c r="B45" s="51">
        <f>B21*1000/B18</f>
        <v>100</v>
      </c>
      <c r="C45" t="s">
        <v>67</v>
      </c>
    </row>
    <row r="46" spans="1:6" x14ac:dyDescent="0.45">
      <c r="A46" t="s">
        <v>68</v>
      </c>
      <c r="B46" s="30">
        <v>20</v>
      </c>
      <c r="C46" t="s">
        <v>26</v>
      </c>
      <c r="D46" s="2">
        <f>B47/B21</f>
        <v>8.1850922187056643</v>
      </c>
      <c r="E46" t="s">
        <v>69</v>
      </c>
    </row>
    <row r="47" spans="1:6" ht="14.45" customHeight="1" x14ac:dyDescent="0.45">
      <c r="A47" t="s">
        <v>70</v>
      </c>
      <c r="B47" s="4">
        <f>2*100*B41/B46</f>
        <v>818.50922187056642</v>
      </c>
      <c r="C47" t="s">
        <v>71</v>
      </c>
      <c r="D47" s="2">
        <f>B47/B41</f>
        <v>10</v>
      </c>
      <c r="E47" t="s">
        <v>72</v>
      </c>
    </row>
    <row r="48" spans="1:6" x14ac:dyDescent="0.45">
      <c r="D48" s="47">
        <f>(B47*10000*4/3.142)^0.5/1000</f>
        <v>3.2280384102397268</v>
      </c>
      <c r="E48" t="s">
        <v>73</v>
      </c>
    </row>
    <row r="49" spans="1:4" x14ac:dyDescent="0.45">
      <c r="A49" s="1"/>
      <c r="B49" s="1"/>
    </row>
    <row r="50" spans="1:4" x14ac:dyDescent="0.45">
      <c r="A50" s="1" t="s">
        <v>74</v>
      </c>
    </row>
    <row r="51" spans="1:4" x14ac:dyDescent="0.45">
      <c r="A51" t="s">
        <v>75</v>
      </c>
      <c r="B51" s="17">
        <v>0.3</v>
      </c>
    </row>
    <row r="52" spans="1:4" x14ac:dyDescent="0.45">
      <c r="A52" t="s">
        <v>76</v>
      </c>
      <c r="B52" s="19">
        <f>1-B51</f>
        <v>0.7</v>
      </c>
    </row>
    <row r="53" spans="1:4" x14ac:dyDescent="0.45">
      <c r="A53" t="s">
        <v>77</v>
      </c>
      <c r="B53" s="17">
        <v>0.1</v>
      </c>
    </row>
    <row r="54" spans="1:4" x14ac:dyDescent="0.45">
      <c r="A54" t="s">
        <v>78</v>
      </c>
      <c r="B54" s="18">
        <v>0.05</v>
      </c>
    </row>
    <row r="55" spans="1:4" x14ac:dyDescent="0.45">
      <c r="A55" t="s">
        <v>79</v>
      </c>
      <c r="B55" s="21">
        <f>B51*B53+B52*B54</f>
        <v>6.5000000000000002E-2</v>
      </c>
      <c r="C55" t="s">
        <v>80</v>
      </c>
      <c r="D55" t="s">
        <v>81</v>
      </c>
    </row>
    <row r="56" spans="1:4" x14ac:dyDescent="0.45">
      <c r="A56" t="s">
        <v>82</v>
      </c>
      <c r="B56" s="18">
        <v>1.4999999999999999E-2</v>
      </c>
    </row>
    <row r="57" spans="1:4" x14ac:dyDescent="0.45">
      <c r="A57" s="13" t="s">
        <v>83</v>
      </c>
      <c r="B57" s="20">
        <f>B55-B56</f>
        <v>0.05</v>
      </c>
      <c r="C57" t="s">
        <v>80</v>
      </c>
    </row>
    <row r="58" spans="1:4" x14ac:dyDescent="0.45">
      <c r="A58" s="7"/>
    </row>
    <row r="59" spans="1:4" x14ac:dyDescent="0.45">
      <c r="A59" s="27" t="s">
        <v>84</v>
      </c>
      <c r="B59" s="28">
        <f>(B60+B61)/B11</f>
        <v>4.8956679651167281E-3</v>
      </c>
      <c r="C59" t="s">
        <v>85</v>
      </c>
    </row>
    <row r="60" spans="1:4" x14ac:dyDescent="0.45">
      <c r="A60" s="26" t="s">
        <v>86</v>
      </c>
      <c r="B60" s="34">
        <f>8210*B18/1000000/B6</f>
        <v>10.135802469135802</v>
      </c>
      <c r="C60" t="s">
        <v>15</v>
      </c>
    </row>
    <row r="61" spans="1:4" x14ac:dyDescent="0.45">
      <c r="A61" s="26" t="s">
        <v>87</v>
      </c>
      <c r="B61" s="34">
        <f>0.3*2*B66*B21/1000/B6</f>
        <v>3.1851851851851851</v>
      </c>
      <c r="C61" t="s">
        <v>15</v>
      </c>
    </row>
    <row r="62" spans="1:4" x14ac:dyDescent="0.45">
      <c r="A62" s="26"/>
    </row>
    <row r="63" spans="1:4" x14ac:dyDescent="0.45">
      <c r="A63" s="14" t="s">
        <v>88</v>
      </c>
      <c r="B63" s="13"/>
    </row>
    <row r="64" spans="1:4" x14ac:dyDescent="0.45">
      <c r="A64" s="13" t="s">
        <v>89</v>
      </c>
      <c r="B64" s="15">
        <v>20</v>
      </c>
      <c r="C64" t="s">
        <v>90</v>
      </c>
    </row>
    <row r="65" spans="1:6" x14ac:dyDescent="0.45">
      <c r="A65" s="13" t="s">
        <v>91</v>
      </c>
      <c r="B65" s="15">
        <v>100</v>
      </c>
      <c r="C65" t="s">
        <v>92</v>
      </c>
      <c r="D65" s="50">
        <f>2*B21/(B18/1000)</f>
        <v>200</v>
      </c>
      <c r="E65" t="s">
        <v>93</v>
      </c>
      <c r="F65" s="50">
        <f>D65/24</f>
        <v>8.3333333333333339</v>
      </c>
    </row>
    <row r="66" spans="1:6" x14ac:dyDescent="0.45">
      <c r="A66" s="13" t="s">
        <v>94</v>
      </c>
      <c r="B66" s="15">
        <v>43</v>
      </c>
      <c r="C66" s="45" t="str">
        <f>IF(2*B66*B45&gt;8760,"Too many","OK")</f>
        <v>OK</v>
      </c>
      <c r="D66" s="48">
        <f>8760/D65</f>
        <v>43.8</v>
      </c>
      <c r="E66" t="s">
        <v>95</v>
      </c>
    </row>
    <row r="67" spans="1:6" x14ac:dyDescent="0.45">
      <c r="A67" s="26" t="s">
        <v>96</v>
      </c>
      <c r="B67" s="4">
        <f>112000*B18*(EXP(-B57*20)+EXP(-B57*40))/1000000/B6</f>
        <v>69.58030757247181</v>
      </c>
      <c r="C67" t="s">
        <v>15</v>
      </c>
      <c r="D67" s="28">
        <f>B67/B11</f>
        <v>2.5571833832833228E-2</v>
      </c>
      <c r="E67" t="s">
        <v>97</v>
      </c>
    </row>
    <row r="68" spans="1:6" x14ac:dyDescent="0.45">
      <c r="A68" s="13"/>
      <c r="B68" s="22"/>
      <c r="C68" s="8"/>
    </row>
    <row r="69" spans="1:6" x14ac:dyDescent="0.45">
      <c r="A69" s="14" t="s">
        <v>98</v>
      </c>
      <c r="B69" s="22"/>
      <c r="C69" s="8"/>
    </row>
    <row r="70" spans="1:6" x14ac:dyDescent="0.45">
      <c r="A70" t="s">
        <v>99</v>
      </c>
      <c r="B70" s="42">
        <f>(B21/B29)*B66/1000</f>
        <v>4.8863636363636367</v>
      </c>
      <c r="C70" s="8" t="s">
        <v>100</v>
      </c>
    </row>
    <row r="71" spans="1:6" x14ac:dyDescent="0.45">
      <c r="A71" t="s">
        <v>101</v>
      </c>
      <c r="B71" s="16">
        <f>(B21*B29)*B66/1000</f>
        <v>3.7839999999999998</v>
      </c>
      <c r="C71" s="8" t="s">
        <v>100</v>
      </c>
      <c r="D71" t="s">
        <v>6</v>
      </c>
    </row>
    <row r="72" spans="1:6" x14ac:dyDescent="0.45">
      <c r="A72" t="s">
        <v>102</v>
      </c>
      <c r="B72" s="43">
        <f>(B70-B71)*B64/B71</f>
        <v>5.8264462809917381</v>
      </c>
      <c r="C72" s="8" t="s">
        <v>90</v>
      </c>
      <c r="D72" s="23">
        <f>B72/D$8</f>
        <v>8.6961884790921467</v>
      </c>
    </row>
    <row r="73" spans="1:6" x14ac:dyDescent="0.45">
      <c r="A73" s="13" t="s">
        <v>14</v>
      </c>
      <c r="B73" s="9">
        <f>((B11+B67)*B57)/(1-EXP(-B57*B65))/($B$71)</f>
        <v>37.123215649007804</v>
      </c>
      <c r="C73" s="8" t="s">
        <v>90</v>
      </c>
      <c r="D73" s="23">
        <f>B73/D$8</f>
        <v>55.40778455075791</v>
      </c>
      <c r="E73" s="8" t="s">
        <v>90</v>
      </c>
    </row>
    <row r="74" spans="1:6" x14ac:dyDescent="0.45">
      <c r="A74" s="13" t="s">
        <v>103</v>
      </c>
      <c r="B74" s="10">
        <f>B59*B11/B71</f>
        <v>3.5203455746091405</v>
      </c>
      <c r="C74" s="8" t="s">
        <v>90</v>
      </c>
      <c r="D74" s="23">
        <f>B74/D$8</f>
        <v>5.2542471262822987</v>
      </c>
      <c r="E74" s="8" t="s">
        <v>90</v>
      </c>
    </row>
    <row r="75" spans="1:6" x14ac:dyDescent="0.45">
      <c r="A75" s="14" t="s">
        <v>104</v>
      </c>
      <c r="B75" s="11">
        <f>SUM(B72:B74)</f>
        <v>46.470007504608681</v>
      </c>
      <c r="C75" s="12" t="s">
        <v>90</v>
      </c>
      <c r="D75" s="44">
        <f>B75/D$8</f>
        <v>69.358220156132361</v>
      </c>
      <c r="E75" s="12" t="s">
        <v>90</v>
      </c>
    </row>
    <row r="76" spans="1:6" x14ac:dyDescent="0.45">
      <c r="A76" s="7"/>
    </row>
    <row r="78" spans="1:6" x14ac:dyDescent="0.45">
      <c r="A78" s="1" t="s">
        <v>105</v>
      </c>
    </row>
    <row r="79" spans="1:6" x14ac:dyDescent="0.45">
      <c r="A79" t="s">
        <v>106</v>
      </c>
      <c r="B79" s="29">
        <f>47/B6</f>
        <v>58.02469135802469</v>
      </c>
      <c r="C79" t="s">
        <v>13</v>
      </c>
      <c r="D79" t="s">
        <v>107</v>
      </c>
    </row>
    <row r="80" spans="1:6" x14ac:dyDescent="0.45">
      <c r="A80" t="s">
        <v>108</v>
      </c>
      <c r="B80" s="52">
        <f>530/B6</f>
        <v>654.3209876543209</v>
      </c>
      <c r="C80" t="s">
        <v>11</v>
      </c>
      <c r="D80" t="s">
        <v>109</v>
      </c>
    </row>
    <row r="81" spans="1:3" x14ac:dyDescent="0.45">
      <c r="A81" t="s">
        <v>110</v>
      </c>
      <c r="B81" s="2">
        <f>B79*$B21+B80/1000*$B18</f>
        <v>6456.7901234567898</v>
      </c>
      <c r="C81" t="s">
        <v>15</v>
      </c>
    </row>
  </sheetData>
  <mergeCells count="1">
    <mergeCell ref="A2:E2"/>
  </mergeCells>
  <conditionalFormatting sqref="C66">
    <cfRule type="cellIs" dxfId="1" priority="1" operator="equal">
      <formula>"OK"</formula>
    </cfRule>
    <cfRule type="cellIs" dxfId="0" priority="2" operator="equal">
      <formula>"Too many"</formula>
    </cfRule>
  </conditionalFormatting>
  <hyperlinks>
    <hyperlink ref="E1" r:id="rId1" xr:uid="{F7638E3D-D4C3-4E70-87CA-8CFFD153F7D1}"/>
  </hyperlinks>
  <pageMargins left="0.7" right="0.7" top="0.75" bottom="0.75" header="0.3" footer="0.3"/>
  <pageSetup paperSize="9" orientation="portrait" horizontalDpi="360" verticalDpi="360"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Cost model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2024-07-02T08:10:10Z</dcterms:modified>
  <cp:category/>
  <cp:contentStatus/>
</cp:coreProperties>
</file>